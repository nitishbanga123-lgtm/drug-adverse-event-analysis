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Drug Adverse Event Analysis\"/>
    </mc:Choice>
  </mc:AlternateContent>
  <xr:revisionPtr revIDLastSave="0" documentId="13_ncr:1_{31E148D7-8C6C-4B1C-B586-4A143526E4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<sst xmlns="http://schemas.openxmlformats.org/spreadsheetml/2006/main" count="55" uniqueCount="42">
  <si>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Drug / Drug Class</t>
  </si>
  <si>
    <t>Key Finding</t>
  </si>
  <si>
    <t>Severity Level</t>
  </si>
  <si>
    <t>Hospitalization Trend</t>
  </si>
  <si>
    <t>Business / Clinical Insight</t>
  </si>
  <si>
    <t>Aspirin (NSAID)</t>
  </si>
  <si>
    <t>Highest GI Bleeding frequency with recurrent severe ADR burden</t>
  </si>
  <si>
    <t>Severe</t>
  </si>
  <si>
    <t>High</t>
  </si>
  <si>
    <t>Aspirin demonstrated the strongest severe GI safety burden, especially in older patients, suggesting need for GI monitoring and hospitalization risk management.</t>
  </si>
  <si>
    <t>Atorvastatin (Statin)</t>
  </si>
  <si>
    <t>Liver Toxicity and Muscle Pain were dominant adverse reactions</t>
  </si>
  <si>
    <t>Moderate-Severe</t>
  </si>
  <si>
    <t>Moderate</t>
  </si>
  <si>
    <t>Atorvastatin showed clinically meaningful hepatic and muscular safety concerns, supporting periodic liver enzyme and symptom monitoring.</t>
  </si>
  <si>
    <t>Metformin (Antidiabetic)</t>
  </si>
  <si>
    <t>Frequent GI symptoms (Nausea/Diarrhea) with rare Lactic Acidosis</t>
  </si>
  <si>
    <t>Metformin displayed manageable GI intolerance overall, with rare but serious metabolic complications requiring caution in high-risk patients.</t>
  </si>
  <si>
    <t>Ibuprofen (NSAID)</t>
  </si>
  <si>
    <t>Mixed profile of Rash/Headache with occasional GI Bleeding</t>
  </si>
  <si>
    <t>Mild-Moderate</t>
  </si>
  <si>
    <t>Ibuprofen generally showed a safer profile than Aspirin but retained important GI bleeding risks requiring selective patient caution.</t>
  </si>
  <si>
    <t>Omeprazole (PPI)</t>
  </si>
  <si>
    <t>Predominantly mild Headache/Dizziness/Rash profile</t>
  </si>
  <si>
    <t>Mild</t>
  </si>
  <si>
    <t>Low</t>
  </si>
  <si>
    <t>Omeprazole demonstrated the lowest hospitalization burden and mildest short-term safety profile among evaluated therapies.</t>
  </si>
  <si>
    <t>NSAIDs (Class Summary)</t>
  </si>
  <si>
    <t>Highest severe ADR and hospitalization concentration</t>
  </si>
  <si>
    <t>NSAID drug class showed the greatest GI-related safety burden, making it the highest-risk therapeutic category in this analysis.</t>
  </si>
  <si>
    <t>Statins (Class Summary)</t>
  </si>
  <si>
    <t>Moderate-to-severe hepatic and muscular burden</t>
  </si>
  <si>
    <t>Statin-associated adverse events highlighted importance of biochemical and symptom surveillance.</t>
  </si>
  <si>
    <t>Antidiabetics (Class Summary)</t>
  </si>
  <si>
    <t>Primarily GI burden with occasional severe metabolic complications</t>
  </si>
  <si>
    <t>Antidiabetic therapy showed manageable common ADRs but included rare high-severity metabolic risk.</t>
  </si>
  <si>
    <t>PPIs (Class Summary)</t>
  </si>
  <si>
    <t>Lowest severe burden and hospitalization</t>
  </si>
  <si>
    <t>PPIs demonstrated the most favorable comparative safety profile in this simulated pharmacovigilance dataset.</t>
  </si>
  <si>
    <t>Age 60+ Population</t>
  </si>
  <si>
    <t>Disproportionately elevated severe ADR + hospitalization burden</t>
  </si>
  <si>
    <t>Older populations showed amplified vulnerability to severe adverse outcomes, suggesting age-stratified pharmacovigilance importance.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</si>
</sst>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984DEC-655A-4C43-BEA0-3BAFAB9E3288}" name="Table2" displayName="Table2" ref="A1:E11" totalsRowShown="0" headerRowDxfId="10" dataDxfId="9" tableBorderDxfId="5">
  <autoFilter ref="A1:E11" xr:uid="{5A984DEC-655A-4C43-BEA0-3BAFAB9E3288}"/>
  <tableColumns count="5">
    <tableColumn id="1" xr3:uid="{0EA1D656-AD0F-45DD-B4FF-8229005257D3}" name="Drug / Drug Class" dataDxfId="4"/>
    <tableColumn id="2" xr3:uid="{1B0B5BB6-C358-44F7-931F-8B5BC688B383}" name="Key Finding" dataDxfId="3"/>
    <tableColumn id="3" xr3:uid="{3C1F0122-D42C-4A13-873A-1ACBE65A1D42}" name="Severity Level" dataDxfId="2"/>
    <tableColumn id="4" xr3:uid="{183F8BA2-1123-42A5-8CDA-201A8AB6A86A}" name="Hospitalization Trend" dataDxfId="1"/>
    <tableColumn id="5" xr3:uid="{D470BF22-1599-4690-9E53-97708C1021EF}" name="Business / Clinical Ins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showGridLines="0" tabSelected="1" zoomScaleNormal="100" workbookViewId="0">
      <selection activeCell="E18" sqref="E18"/>
    </sheetView>
  </sheetViews>
  <sheetFormatPr defaultRowHeight="15" x14ac:dyDescent="0.25"/>
  <cols>
    <col min="1" max="1" width="28.28515625" bestFit="1" customWidth="1"/>
    <col min="2" max="2" width="62.28515625" bestFit="1" customWidth="1"/>
    <col min="3" max="3" width="20" customWidth="1"/>
    <col min="4" max="4" width="28.140625" customWidth="1"/>
    <col min="5" max="5" width="91.4257812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1.5" x14ac:dyDescent="0.25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pans="1:5" ht="31.5" x14ac:dyDescent="0.25">
      <c r="A3" s="4" t="s">
        <v>10</v>
      </c>
      <c r="B3" s="4" t="s">
        <v>11</v>
      </c>
      <c r="C3" s="4" t="s">
        <v>12</v>
      </c>
      <c r="D3" s="4" t="s">
        <v>13</v>
      </c>
      <c r="E3" s="5" t="s">
        <v>14</v>
      </c>
    </row>
    <row r="4" spans="1:5" ht="31.5" x14ac:dyDescent="0.25">
      <c r="A4" s="4" t="s">
        <v>15</v>
      </c>
      <c r="B4" s="4" t="s">
        <v>16</v>
      </c>
      <c r="C4" s="4" t="s">
        <v>13</v>
      </c>
      <c r="D4" s="4" t="s">
        <v>13</v>
      </c>
      <c r="E4" s="5" t="s">
        <v>17</v>
      </c>
    </row>
    <row r="5" spans="1:5" ht="31.5" x14ac:dyDescent="0.25">
      <c r="A5" s="4" t="s">
        <v>18</v>
      </c>
      <c r="B5" s="4" t="s">
        <v>19</v>
      </c>
      <c r="C5" s="4" t="s">
        <v>20</v>
      </c>
      <c r="D5" s="4" t="s">
        <v>13</v>
      </c>
      <c r="E5" s="5" t="s">
        <v>21</v>
      </c>
    </row>
    <row r="6" spans="1:5" ht="31.5" x14ac:dyDescent="0.25">
      <c r="A6" s="4" t="s">
        <v>22</v>
      </c>
      <c r="B6" s="4" t="s">
        <v>23</v>
      </c>
      <c r="C6" s="4" t="s">
        <v>24</v>
      </c>
      <c r="D6" s="4" t="s">
        <v>25</v>
      </c>
      <c r="E6" s="5" t="s">
        <v>26</v>
      </c>
    </row>
    <row r="7" spans="1:5" ht="31.5" x14ac:dyDescent="0.25">
      <c r="A7" s="4" t="s">
        <v>27</v>
      </c>
      <c r="B7" s="4" t="s">
        <v>28</v>
      </c>
      <c r="C7" s="4" t="s">
        <v>7</v>
      </c>
      <c r="D7" s="4" t="s">
        <v>8</v>
      </c>
      <c r="E7" s="5" t="s">
        <v>29</v>
      </c>
    </row>
    <row r="8" spans="1:5" ht="15.75" x14ac:dyDescent="0.25">
      <c r="A8" s="4" t="s">
        <v>30</v>
      </c>
      <c r="B8" s="4" t="s">
        <v>31</v>
      </c>
      <c r="C8" s="4" t="s">
        <v>12</v>
      </c>
      <c r="D8" s="4" t="s">
        <v>13</v>
      </c>
      <c r="E8" s="5" t="s">
        <v>32</v>
      </c>
    </row>
    <row r="9" spans="1:5" ht="31.5" x14ac:dyDescent="0.25">
      <c r="A9" s="4" t="s">
        <v>33</v>
      </c>
      <c r="B9" s="4" t="s">
        <v>34</v>
      </c>
      <c r="C9" s="4" t="s">
        <v>13</v>
      </c>
      <c r="D9" s="4" t="s">
        <v>13</v>
      </c>
      <c r="E9" s="5" t="s">
        <v>35</v>
      </c>
    </row>
    <row r="10" spans="1:5" ht="31.5" x14ac:dyDescent="0.25">
      <c r="A10" s="4" t="s">
        <v>36</v>
      </c>
      <c r="B10" s="4" t="s">
        <v>37</v>
      </c>
      <c r="C10" s="4" t="s">
        <v>24</v>
      </c>
      <c r="D10" s="4" t="s">
        <v>25</v>
      </c>
      <c r="E10" s="5" t="s">
        <v>38</v>
      </c>
    </row>
    <row r="11" spans="1:5" ht="31.5" x14ac:dyDescent="0.25">
      <c r="A11" s="4" t="s">
        <v>39</v>
      </c>
      <c r="B11" s="4" t="s">
        <v>40</v>
      </c>
      <c r="C11" s="4" t="s">
        <v>7</v>
      </c>
      <c r="D11" s="4" t="s">
        <v>8</v>
      </c>
      <c r="E11" s="5" t="s">
        <v>41</v>
      </c>
    </row>
  </sheetData>
  <conditionalFormatting sqref="C1:C1048576">
    <cfRule type="containsText" dxfId="6" priority="2" operator="containsText" text="SEVERE">
      <formula>NOT(ISERROR(SEARCH("SEVERE",C1)))</formula>
    </cfRule>
    <cfRule type="containsText" dxfId="7" priority="1" operator="containsText" text="MILD">
      <formula>NOT(ISERROR(SEARCH("MILD",C1)))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Nitish Banga</cp:lastModifiedBy>
  <dcterms:created xsi:type="dcterms:W3CDTF">2015-06-05T18:17:20Z</dcterms:created>
  <dcterms:modified xsi:type="dcterms:W3CDTF">2026-05-10T14:52:58Z</dcterms:modified>
</cp:coreProperties>
</file>